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mpSciYear3\Dissertation\"/>
    </mc:Choice>
  </mc:AlternateContent>
  <xr:revisionPtr revIDLastSave="0" documentId="8_{8F653720-2764-4AA5-A682-B34E05082C7C}" xr6:coauthVersionLast="47" xr6:coauthVersionMax="47" xr10:uidLastSave="{00000000-0000-0000-0000-000000000000}"/>
  <bookViews>
    <workbookView xWindow="-25710" yWindow="6250" windowWidth="25820" windowHeight="13900" xr2:uid="{F99131C2-D520-4E1C-87BD-2253FED3A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 a="1"/>
  <c r="D4" i="1" s="1"/>
  <c r="E4" i="1" a="1"/>
  <c r="E4" i="1" s="1"/>
  <c r="H4" i="1" a="1"/>
  <c r="H4" i="1" s="1"/>
  <c r="I4" i="1" a="1"/>
  <c r="I4" i="1" s="1"/>
  <c r="K4" i="1" a="1"/>
  <c r="K4" i="1" s="1"/>
  <c r="D5" i="1" a="1"/>
  <c r="D5" i="1" s="1"/>
  <c r="E5" i="1" a="1"/>
  <c r="E5" i="1" s="1"/>
  <c r="H5" i="1" a="1"/>
  <c r="H5" i="1" s="1"/>
  <c r="I5" i="1" a="1"/>
  <c r="I5" i="1" s="1"/>
  <c r="K5" i="1" a="1"/>
  <c r="K5" i="1" s="1"/>
  <c r="D6" i="1" a="1"/>
  <c r="D6" i="1" s="1"/>
  <c r="E6" i="1" a="1"/>
  <c r="E6" i="1" s="1"/>
  <c r="H6" i="1" a="1"/>
  <c r="H6" i="1" s="1"/>
  <c r="I6" i="1" a="1"/>
  <c r="I6" i="1" s="1"/>
  <c r="K6" i="1" a="1"/>
  <c r="K6" i="1" s="1"/>
  <c r="D7" i="1" a="1"/>
  <c r="D7" i="1" s="1"/>
  <c r="E7" i="1" a="1"/>
  <c r="E7" i="1" s="1"/>
  <c r="H7" i="1" a="1"/>
  <c r="H7" i="1" s="1"/>
  <c r="I7" i="1" a="1"/>
  <c r="I7" i="1" s="1"/>
  <c r="K7" i="1" a="1"/>
  <c r="K7" i="1" s="1"/>
  <c r="D8" i="1" a="1"/>
  <c r="D8" i="1" s="1"/>
  <c r="E8" i="1" a="1"/>
  <c r="E8" i="1" s="1"/>
  <c r="H8" i="1" a="1"/>
  <c r="H8" i="1" s="1"/>
  <c r="I8" i="1" a="1"/>
  <c r="I8" i="1" s="1"/>
  <c r="K8" i="1" a="1"/>
  <c r="K8" i="1" s="1"/>
  <c r="D9" i="1" a="1"/>
  <c r="D9" i="1" s="1"/>
  <c r="E9" i="1" a="1"/>
  <c r="E9" i="1" s="1"/>
  <c r="H9" i="1" a="1"/>
  <c r="H9" i="1" s="1"/>
  <c r="I9" i="1" a="1"/>
  <c r="I9" i="1" s="1"/>
  <c r="K9" i="1" a="1"/>
  <c r="K9" i="1" s="1"/>
  <c r="D10" i="1" a="1"/>
  <c r="D10" i="1" s="1"/>
  <c r="E10" i="1" a="1"/>
  <c r="E10" i="1" s="1"/>
  <c r="H10" i="1" a="1"/>
  <c r="H10" i="1" s="1"/>
  <c r="I10" i="1" a="1"/>
  <c r="I10" i="1" s="1"/>
  <c r="K10" i="1" a="1"/>
  <c r="K10" i="1" s="1"/>
  <c r="D11" i="1" a="1"/>
  <c r="D11" i="1" s="1"/>
  <c r="E11" i="1" a="1"/>
  <c r="E11" i="1" s="1"/>
  <c r="H11" i="1" a="1"/>
  <c r="H11" i="1" s="1"/>
  <c r="I11" i="1" a="1"/>
  <c r="I11" i="1" s="1"/>
  <c r="K11" i="1" a="1"/>
  <c r="K11" i="1" s="1"/>
  <c r="D12" i="1" a="1"/>
  <c r="D12" i="1" s="1"/>
  <c r="E12" i="1" a="1"/>
  <c r="E12" i="1" s="1"/>
  <c r="H12" i="1" a="1"/>
  <c r="H12" i="1" s="1"/>
  <c r="I12" i="1" a="1"/>
  <c r="I12" i="1" s="1"/>
  <c r="K12" i="1" a="1"/>
  <c r="K12" i="1" s="1"/>
  <c r="D3" i="1" a="1"/>
  <c r="D3" i="1" s="1"/>
  <c r="E3" i="1" a="1"/>
  <c r="E3" i="1" s="1"/>
  <c r="H3" i="1" a="1"/>
  <c r="H3" i="1" s="1"/>
  <c r="I3" i="1" a="1"/>
  <c r="I3" i="1" s="1"/>
  <c r="K3" i="1" a="1"/>
  <c r="K3" i="1" s="1"/>
  <c r="K2" i="1" a="1"/>
  <c r="K2" i="1" s="1"/>
  <c r="M2" i="1" s="1" a="1"/>
  <c r="M2" i="1" s="1"/>
  <c r="D2" i="1" a="1"/>
  <c r="D2" i="1" s="1"/>
  <c r="I2" i="1" a="1"/>
  <c r="I2" i="1" s="1"/>
  <c r="H2" i="1" a="1"/>
  <c r="H2" i="1" s="1"/>
  <c r="E2" i="1" a="1"/>
  <c r="E2" i="1" s="1"/>
  <c r="M5" i="1" l="1" a="1"/>
  <c r="M5" i="1" s="1"/>
  <c r="L5" i="1" a="1"/>
  <c r="L5" i="1" s="1"/>
  <c r="M8" i="1" a="1"/>
  <c r="M8" i="1" s="1"/>
  <c r="L8" i="1" a="1"/>
  <c r="L8" i="1" s="1"/>
  <c r="M10" i="1" a="1"/>
  <c r="M10" i="1" s="1"/>
  <c r="L10" i="1" a="1"/>
  <c r="L10" i="1" s="1"/>
  <c r="L7" i="1" a="1"/>
  <c r="L7" i="1" s="1"/>
  <c r="M7" i="1" a="1"/>
  <c r="M7" i="1" s="1"/>
  <c r="M12" i="1" a="1"/>
  <c r="M12" i="1" s="1"/>
  <c r="L12" i="1" a="1"/>
  <c r="L12" i="1" s="1"/>
  <c r="L9" i="1" a="1"/>
  <c r="L9" i="1" s="1"/>
  <c r="M9" i="1" a="1"/>
  <c r="M9" i="1" s="1"/>
  <c r="M4" i="1" a="1"/>
  <c r="M4" i="1" s="1"/>
  <c r="L4" i="1" a="1"/>
  <c r="L4" i="1" s="1"/>
  <c r="M6" i="1" a="1"/>
  <c r="M6" i="1" s="1"/>
  <c r="L6" i="1" a="1"/>
  <c r="L6" i="1" s="1"/>
  <c r="L11" i="1" a="1"/>
  <c r="L11" i="1" s="1"/>
  <c r="M11" i="1" a="1"/>
  <c r="M11" i="1" s="1"/>
  <c r="L3" i="1" a="1"/>
  <c r="L3" i="1" s="1"/>
  <c r="M3" i="1" a="1"/>
  <c r="M3" i="1" s="1"/>
  <c r="L2" i="1" a="1"/>
  <c r="L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<sst xmlns="http://schemas.openxmlformats.org/spreadsheetml/2006/main" count="39" uniqueCount="39">
  <si>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>Incident</t>
  </si>
  <si>
    <t>Identified Incidents</t>
  </si>
  <si>
    <t>Correct Matches</t>
  </si>
  <si>
    <t>I00129</t>
  </si>
  <si>
    <t>Discrepencies</t>
  </si>
  <si>
    <t>Multimodal MV</t>
  </si>
  <si>
    <t>"T0146.004",  "T0148.009", "T0148.009", "T0150.005", "T0151.008"</t>
  </si>
  <si>
    <t>Correct Matches2</t>
  </si>
  <si>
    <t>Discrepencies3</t>
  </si>
  <si>
    <t>Correct Matches4</t>
  </si>
  <si>
    <t>Discrepencies5</t>
  </si>
  <si>
    <t>I00128</t>
  </si>
  <si>
    <t>I00127</t>
  </si>
  <si>
    <t>I00126</t>
  </si>
  <si>
    <t>I00125</t>
  </si>
  <si>
    <t>"T0097.208", "T0151.001", "T0151.002", "T0152.004", "T0153.004"</t>
  </si>
  <si>
    <t>"T0097.104", "T0143.003"</t>
  </si>
  <si>
    <t>"T0085.004", "T0097.102", "T0097.202", "T0143.003", "T0149.002"</t>
  </si>
  <si>
    <t>"T0087", "T0143.002", "T0146", "T0151.008"</t>
  </si>
  <si>
    <t>"T0146", "T0146.003", "T0143.003", "T0014.002", "T0016", "T0039"</t>
  </si>
  <si>
    <t>"T0143.003", "T0095", "T0136.004"</t>
  </si>
  <si>
    <t>"T0002", "T0003", "T0022.001", "T0023", "T0045", "TA11", "TA14", "TA15", "TA17"</t>
  </si>
  <si>
    <t>"TE0001", "TE0002", "TE0005", "TE0006", "TE0007", "TE0008", "TE0010", "TE0011", "TE0012", "TE0016", "TE0017", "TE0021"</t>
  </si>
  <si>
    <t>Notes</t>
  </si>
  <si>
    <t>It's making up techniques (interpolating)</t>
  </si>
  <si>
    <t>Partial matchings</t>
  </si>
  <si>
    <t>Similar matchings: Hacktivist personal ~&gt; Cultivate Ignorant Agents, Impersonated persona ~&gt; use fake experts</t>
  </si>
  <si>
    <t>"T0097.104", "T0143.002", "T0143.003", "T0002"</t>
  </si>
  <si>
    <t>Notes2</t>
  </si>
  <si>
    <t>CORRECT!</t>
  </si>
  <si>
    <t>Gemini (pro) output</t>
  </si>
  <si>
    <t>ChatGPT (standard) output</t>
  </si>
  <si>
    <t>"T0097.102", "T0143.002", "T0092.001", "T0153.001", "TA05", "T0073", "TA08", "TA16", "T0147.003", "T0152.010", "T0130.002", "T0128", "T0129", "T0149.007"</t>
  </si>
  <si>
    <t>T1566.001, "T1637.001", "T1637.004", "T1546.002", "T1102", "T1608.006", "T1059.001", "T1027", "T1655.004", "T1547.001", "T1518.001", "T1083", "T1057", "T1082", "T1113", "T1070", "T1221", "T1190"</t>
  </si>
  <si>
    <t>4 Partial matches</t>
  </si>
  <si>
    <t>"T0097.104", "T0097", "T0089", "T0049.007", "T0002", "T0130", "T0129.009", "T0091", "TA14"</t>
  </si>
  <si>
    <t>"T0101", "T0102", "T0103", "T0104", "T0107", "T0110", "T0111", "T0116", "T0117", "T0123", "T0124", "T0125", "T0127", "T0128", "T0132", "T0133", "T0134", "T0135", "T0138", "T0141", "T0144", "T0147"</t>
  </si>
  <si>
    <t>"T0015.002", "T0049.003", "T0049.001", "T0085", "T0086.003", "T0087.002", "T0095", "T0152.011", "T0149.008", "T0097.101", "T0097.102", "T0097.103", "T0049.002", "T0049.006", "T0130.001"</t>
  </si>
  <si>
    <t>1 Partial Mappiing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</si>
</sst>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288B9B-71F8-4B84-9A5A-B9ADBF2DE883}" name="Table2" displayName="Table2" ref="A1:M12" totalsRowShown="0" dataDxfId="0">
  <autoFilter ref="A1:M12" xr:uid="{40288B9B-71F8-4B84-9A5A-B9ADBF2DE883}"/>
  <tableColumns count="13">
    <tableColumn id="1" xr3:uid="{D36451A1-FF06-4748-853C-9BE38966E983}" name="Incident" dataDxfId="13"/>
    <tableColumn id="2" xr3:uid="{93C0EDA8-290D-4C78-BCE1-22B1B1320D27}" name="Identified Incidents" dataDxfId="12"/>
    <tableColumn id="3" xr3:uid="{0469B7C9-BED3-4075-8D50-1380C7DC03CD}" name="ChatGPT (standard) output" dataDxfId="11"/>
    <tableColumn id="4" xr3:uid="{534CB815-9437-4F1E-BA3B-A9457130BAFB}" name="Correct Matches" dataDxfId="10">
      <calculatedColumnFormula array="1">_xlfn.LET(
    _xlpm.List1, _xlfn.TEXTSPLIT(B2, ", "),
    _xlpm.List2, _xlfn.TEXTSPLIT(C2, ", "),
    SUM(--ISNUMBER(MATCH(_xlpm.List1, _xlpm.List2, 0)))
)</calculatedColumnFormula>
    </tableColumn>
    <tableColumn id="5" xr3:uid="{6692C5A6-3F2A-4839-8D85-74DCF562AC8F}" name="Discrepencies" dataDxfId="9">
      <calculatedColumnFormula array="1">_xlfn.LET(
    _xlpm.List1, _xlfn.TEXTSPLIT(B2, ", "),
    _xlpm.List2, _xlfn.TEXTSPLIT(C2, ", "),
    SUM(--ISNA(MATCH(_xlpm.List1, _xlpm.List2, 0)))
)</calculatedColumnFormula>
    </tableColumn>
    <tableColumn id="13" xr3:uid="{E6595680-F225-4345-BBBC-E1ED9FC28B19}" name="Notes" dataDxfId="8"/>
    <tableColumn id="6" xr3:uid="{CFE48C63-53F4-4574-81EE-A66FAF75E0D0}" name="Gemini (pro) output" dataDxfId="7"/>
    <tableColumn id="7" xr3:uid="{3038C895-5F86-4207-B322-BB1D212FDB77}" name="Correct Matches2" dataDxfId="6">
      <calculatedColumnFormula array="1">_xlfn.LET(
    _xlpm.List1, _xlfn.TEXTSPLIT(B2, ", "),
    _xlpm.List2, _xlfn.TEXTSPLIT(G2, ", "),
    SUM(--ISNUMBER(MATCH(_xlpm.List1, _xlpm.List2, 0)))
)</calculatedColumnFormula>
    </tableColumn>
    <tableColumn id="8" xr3:uid="{809606E3-F5D6-4B9D-B76F-F4BC58F5D918}" name="Discrepencies3" dataDxfId="5">
      <calculatedColumnFormula array="1">_xlfn.LET(
    _xlpm.List1, _xlfn.TEXTSPLIT(B2, ", "),
    _xlpm.List2, _xlfn.TEXTSPLIT(G2, ", "),
    SUM(--ISNA(MATCH(_xlpm.List1, _xlpm.List2, 0)))
)</calculatedColumnFormula>
    </tableColumn>
    <tableColumn id="14" xr3:uid="{63FF60A5-E644-47A8-AE76-A9D1EA28894F}" name="Notes2" dataDxfId="4"/>
    <tableColumn id="9" xr3:uid="{1A080675-5ECD-4E77-A8E3-91272DACA0A0}" name="Multimodal MV" dataDxfId="3">
      <calculatedColumnFormula array="1">_xlfn.LET(
    _xlpm.List1, _xlfn.TEXTSPLIT(C2, ", "),
    _xlpm.List2, _xlfn.TEXTSPLIT(G2, ", "),
    _xlpm.CommonItems, _xlfn._xlws.FILTER(_xlpm.List1, ISNUMBER(MATCH(_xlpm.List1, _xlpm.List2, 0)), ""),
    _xlfn.TEXTJOIN(", ", TRUE, _xlpm.CommonItems)
)</calculatedColumnFormula>
    </tableColumn>
    <tableColumn id="10" xr3:uid="{DE4A17A5-03F5-4BB0-B2B6-1EEBA0E5FD30}" name="Correct Matches4" dataDxfId="2">
      <calculatedColumnFormula array="1">_xlfn.LET(
    _xlpm.List1, _xlfn.TEXTSPLIT(B2, ", "),
    _xlpm.List2, _xlfn.TEXTSPLIT(K2, ", "),
    SUM(--ISNUMBER(MATCH(_xlpm.List1, _xlpm.List2, 0)))
)</calculatedColumnFormula>
    </tableColumn>
    <tableColumn id="11" xr3:uid="{B7FFCF9E-C2C4-4F5F-AAF0-446240DE1C2F}" name="Discrepencies5" dataDxfId="1">
      <calculatedColumnFormula array="1">_xlfn.LET(
    _xlpm.List1, _xlfn.TEXTSPLIT(B2, ", "),
    _xlpm.List2, _xlfn.TEXTSPLIT(K2, ", "),
    SUM(--ISNA(MATCH(_xlpm.List1, _xlpm.List2, 0)))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E67F-B572-4298-899D-F27AA4E02149}">
  <dimension ref="A1:M12"/>
  <sheetViews>
    <sheetView tabSelected="1" zoomScale="70" zoomScaleNormal="70" workbookViewId="0">
      <selection activeCell="F13" sqref="F13"/>
    </sheetView>
  </sheetViews>
  <sheetFormatPr defaultRowHeight="15" x14ac:dyDescent="0.25"/>
  <cols>
    <col min="1" max="1" width="21.28515625" customWidth="1"/>
    <col min="2" max="2" width="56" customWidth="1"/>
    <col min="3" max="3" width="72.7109375" customWidth="1"/>
    <col min="4" max="4" width="17.5703125" customWidth="1"/>
    <col min="5" max="5" width="15.7109375" customWidth="1"/>
    <col min="6" max="6" width="20.140625" customWidth="1"/>
    <col min="7" max="7" width="55.28515625" customWidth="1"/>
    <col min="8" max="8" width="18.7109375" customWidth="1"/>
    <col min="9" max="10" width="16.7109375" customWidth="1"/>
    <col min="11" max="11" width="56.42578125" customWidth="1"/>
    <col min="12" max="12" width="18.7109375" customWidth="1"/>
    <col min="13" max="13" width="16.7109375" customWidth="1"/>
  </cols>
  <sheetData>
    <row r="1" spans="1:13" x14ac:dyDescent="0.25">
      <c r="A1" t="s">
        <v>0</v>
      </c>
      <c r="B1" t="s">
        <v>1</v>
      </c>
      <c r="C1" t="s">
        <v>31</v>
      </c>
      <c r="D1" t="s">
        <v>2</v>
      </c>
      <c r="E1" t="s">
        <v>4</v>
      </c>
      <c r="F1" t="s">
        <v>23</v>
      </c>
      <c r="G1" t="s">
        <v>30</v>
      </c>
      <c r="H1" t="s">
        <v>7</v>
      </c>
      <c r="I1" t="s">
        <v>8</v>
      </c>
      <c r="J1" t="s">
        <v>28</v>
      </c>
      <c r="K1" t="s">
        <v>5</v>
      </c>
      <c r="L1" t="s">
        <v>9</v>
      </c>
      <c r="M1" t="s">
        <v>10</v>
      </c>
    </row>
    <row r="2" spans="1:13" ht="15.75" customHeight="1" x14ac:dyDescent="0.25">
      <c r="A2" s="2" t="s">
        <v>3</v>
      </c>
      <c r="B2" s="1" t="s">
        <v>6</v>
      </c>
      <c r="C2" s="1" t="s">
        <v>19</v>
      </c>
      <c r="D2" s="1" cm="1">
        <f t="array" ref="D2">_xlfn.LET(
    _xlpm.List1, _xlfn.TEXTSPLIT(B2, ", "),
    _xlpm.List2, _xlfn.TEXTSPLIT(C2, ", "),
    SUM(--ISNUMBER(MATCH(_xlpm.List1, _xlpm.List2, 0)))
)</f>
        <v>0</v>
      </c>
      <c r="E2" s="1" cm="1">
        <f t="array" ref="E2">_xlfn.LET(
    _xlpm.List1, _xlfn.TEXTSPLIT(B2, ", "),
    _xlpm.List2, _xlfn.TEXTSPLIT(C2, ", "),
    SUM(--ISNA(MATCH(_xlpm.List1, _xlpm.List2, 0)))
)</f>
        <v>5</v>
      </c>
      <c r="F2" s="1" t="s">
        <v>25</v>
      </c>
      <c r="G2" s="1" t="s">
        <v>20</v>
      </c>
      <c r="H2" s="1" cm="1">
        <f t="array" ref="H2">_xlfn.LET(
    _xlpm.List1, _xlfn.TEXTSPLIT(B2, ", "),
    _xlpm.List2, _xlfn.TEXTSPLIT(G2, ", "),
    SUM(--ISNUMBER(MATCH(_xlpm.List1, _xlpm.List2, 0)))
)</f>
        <v>0</v>
      </c>
      <c r="I2" s="1" cm="1">
        <f t="array" ref="I2">_xlfn.LET(
    _xlpm.List1, _xlfn.TEXTSPLIT(B2, ", "),
    _xlpm.List2, _xlfn.TEXTSPLIT(G2, ", "),
    SUM(--ISNA(MATCH(_xlpm.List1, _xlpm.List2, 0)))
)</f>
        <v>5</v>
      </c>
      <c r="J2" s="1"/>
      <c r="K2" s="1" t="str" cm="1">
        <f t="array" ref="K2">_xlfn.LET(
    _xlpm.List1, _xlfn.TEXTSPLIT(C2, ", "),
    _xlpm.List2, _xlfn.TEXTSPLIT(G2, ", "),
    _xlpm.CommonItems, _xlfn._xlws.FILTER(_xlpm.List1, ISNUMBER(MATCH(_xlpm.List1, _xlpm.List2, 0)), ""),
    _xlfn.TEXTJOIN(", ", TRUE, _xlpm.CommonItems)
)</f>
        <v>"T0143.003"</v>
      </c>
      <c r="L2" s="1" cm="1">
        <f t="array" ref="L2">_xlfn.LET(
    _xlpm.List1, _xlfn.TEXTSPLIT(B2, ", "),
    _xlpm.List2, _xlfn.TEXTSPLIT(K2, ", "),
    SUM(--ISNUMBER(MATCH(_xlpm.List1, _xlpm.List2, 0)))
)</f>
        <v>0</v>
      </c>
      <c r="M2" s="1" cm="1">
        <f t="array" ref="M2">_xlfn.LET(
    _xlpm.List1, _xlfn.TEXTSPLIT(B2, ", "),
    _xlpm.List2, _xlfn.TEXTSPLIT(K2, ", "),
    SUM(--ISNA(MATCH(_xlpm.List1, _xlpm.List2, 0)))
)</f>
        <v>5</v>
      </c>
    </row>
    <row r="3" spans="1:13" ht="45" x14ac:dyDescent="0.25">
      <c r="A3" s="3" t="s">
        <v>11</v>
      </c>
      <c r="B3" s="1" t="s">
        <v>15</v>
      </c>
      <c r="C3" s="1" t="s">
        <v>21</v>
      </c>
      <c r="D3" s="1" cm="1">
        <f t="array" ref="D3">_xlfn.LET(
    _xlpm.List1, _xlfn.TEXTSPLIT(B3, ", "),
    _xlpm.List2, _xlfn.TEXTSPLIT(C3, ", "),
    SUM(--ISNUMBER(MATCH(_xlpm.List1, _xlpm.List2, 0)))
)</f>
        <v>0</v>
      </c>
      <c r="E3" s="1" cm="1">
        <f t="array" ref="E3">_xlfn.LET(
    _xlpm.List1, _xlfn.TEXTSPLIT(B3, ", "),
    _xlpm.List2, _xlfn.TEXTSPLIT(C3, ", "),
    SUM(--ISNA(MATCH(_xlpm.List1, _xlpm.List2, 0)))
)</f>
        <v>5</v>
      </c>
      <c r="F3" s="1"/>
      <c r="G3" s="1" t="s">
        <v>22</v>
      </c>
      <c r="H3" s="1" cm="1">
        <f t="array" ref="H3">_xlfn.LET(
    _xlpm.List1, _xlfn.TEXTSPLIT(B3, ", "),
    _xlpm.List2, _xlfn.TEXTSPLIT(G3, ", "),
    SUM(--ISNUMBER(MATCH(_xlpm.List1, _xlpm.List2, 0)))
)</f>
        <v>0</v>
      </c>
      <c r="I3" s="1" cm="1">
        <f t="array" ref="I3">_xlfn.LET(
    _xlpm.List1, _xlfn.TEXTSPLIT(B3, ", "),
    _xlpm.List2, _xlfn.TEXTSPLIT(G3, ", "),
    SUM(--ISNA(MATCH(_xlpm.List1, _xlpm.List2, 0)))
)</f>
        <v>5</v>
      </c>
      <c r="J3" s="1" t="s">
        <v>24</v>
      </c>
      <c r="K3" s="1" t="str" cm="1">
        <f t="array" ref="K3">_xlfn.LET(
    _xlpm.List1, _xlfn.TEXTSPLIT(C3, ", "),
    _xlpm.List2, _xlfn.TEXTSPLIT(G3, ", "),
    _xlpm.CommonItems, _xlfn._xlws.FILTER(_xlpm.List1, ISNUMBER(MATCH(_xlpm.List1, _xlpm.List2, 0)), ""),
    _xlfn.TEXTJOIN(", ", TRUE, _xlpm.CommonItems)
)</f>
        <v/>
      </c>
      <c r="L3" s="1" cm="1">
        <f t="array" ref="L3">_xlfn.LET(
    _xlpm.List1, _xlfn.TEXTSPLIT(B3, ", "),
    _xlpm.List2, _xlfn.TEXTSPLIT(K3, ", "),
    SUM(--ISNUMBER(MATCH(_xlpm.List1, _xlpm.List2, 0)))
)</f>
        <v>0</v>
      </c>
      <c r="M3" s="1" cm="1">
        <f t="array" ref="M3">_xlfn.LET(
    _xlpm.List1, _xlfn.TEXTSPLIT(B3, ", "),
    _xlpm.List2, _xlfn.TEXTSPLIT(K3, ", "),
    SUM(--ISNA(MATCH(_xlpm.List1, _xlpm.List2, 0)))
)</f>
        <v>0</v>
      </c>
    </row>
    <row r="4" spans="1:13" ht="105" x14ac:dyDescent="0.25">
      <c r="A4" s="2" t="s">
        <v>12</v>
      </c>
      <c r="B4" s="1" t="s">
        <v>16</v>
      </c>
      <c r="C4" s="1" t="s">
        <v>35</v>
      </c>
      <c r="D4" s="1" cm="1">
        <f t="array" ref="D4">_xlfn.LET(
    _xlpm.List1, _xlfn.TEXTSPLIT(B4, ", "),
    _xlpm.List2, _xlfn.TEXTSPLIT(C4, ", "),
    SUM(--ISNUMBER(MATCH(_xlpm.List1, _xlpm.List2, 0)))
)</f>
        <v>1</v>
      </c>
      <c r="E4" s="1" cm="1">
        <f t="array" ref="E4">_xlfn.LET(
    _xlpm.List1, _xlfn.TEXTSPLIT(B4, ", "),
    _xlpm.List2, _xlfn.TEXTSPLIT(C4, ", "),
    SUM(--ISNA(MATCH(_xlpm.List1, _xlpm.List2, 0)))
)</f>
        <v>1</v>
      </c>
      <c r="F4" s="1" t="s">
        <v>26</v>
      </c>
      <c r="G4" s="1" t="s">
        <v>27</v>
      </c>
      <c r="H4" s="1" cm="1">
        <f t="array" ref="H4">_xlfn.LET(
    _xlpm.List1, _xlfn.TEXTSPLIT(B4, ", "),
    _xlpm.List2, _xlfn.TEXTSPLIT(G4, ", "),
    SUM(--ISNUMBER(MATCH(_xlpm.List1, _xlpm.List2, 0)))
)</f>
        <v>2</v>
      </c>
      <c r="I4" s="1" cm="1">
        <f t="array" ref="I4">_xlfn.LET(
    _xlpm.List1, _xlfn.TEXTSPLIT(B4, ", "),
    _xlpm.List2, _xlfn.TEXTSPLIT(G4, ", "),
    SUM(--ISNA(MATCH(_xlpm.List1, _xlpm.List2, 0)))
)</f>
        <v>0</v>
      </c>
      <c r="J4" s="1" t="s">
        <v>29</v>
      </c>
      <c r="K4" s="1" t="str" cm="1">
        <f t="array" ref="K4">_xlfn.LET(
    _xlpm.List1, _xlfn.TEXTSPLIT(C4, ", "),
    _xlpm.List2, _xlfn.TEXTSPLIT(G4, ", "),
    _xlpm.CommonItems, _xlfn._xlws.FILTER(_xlpm.List1, ISNUMBER(MATCH(_xlpm.List1, _xlpm.List2, 0)), ""),
    _xlfn.TEXTJOIN(", ", TRUE, _xlpm.CommonItems)
)</f>
        <v>"T0097.104", "T0002"</v>
      </c>
      <c r="L4" s="1" cm="1">
        <f t="array" ref="L4">_xlfn.LET(
    _xlpm.List1, _xlfn.TEXTSPLIT(B4, ", "),
    _xlpm.List2, _xlfn.TEXTSPLIT(K4, ", "),
    SUM(--ISNUMBER(MATCH(_xlpm.List1, _xlpm.List2, 0)))
)</f>
        <v>1</v>
      </c>
      <c r="M4" s="1" cm="1">
        <f t="array" ref="M4">_xlfn.LET(
    _xlpm.List1, _xlfn.TEXTSPLIT(B4, ", "),
    _xlpm.List2, _xlfn.TEXTSPLIT(K4, ", "),
    SUM(--ISNA(MATCH(_xlpm.List1, _xlpm.List2, 0)))
)</f>
        <v>1</v>
      </c>
    </row>
    <row r="5" spans="1:13" ht="60" x14ac:dyDescent="0.25">
      <c r="A5" s="3" t="s">
        <v>13</v>
      </c>
      <c r="B5" s="1" t="s">
        <v>17</v>
      </c>
      <c r="C5" s="1" t="s">
        <v>32</v>
      </c>
      <c r="D5" s="1" cm="1">
        <f t="array" ref="D5">_xlfn.LET(
    _xlpm.List1, _xlfn.TEXTSPLIT(B5, ", "),
    _xlpm.List2, _xlfn.TEXTSPLIT(C5, ", "),
    SUM(--ISNUMBER(MATCH(_xlpm.List1, _xlpm.List2, 0)))
)</f>
        <v>1</v>
      </c>
      <c r="E5" s="1" cm="1">
        <f t="array" ref="E5">_xlfn.LET(
    _xlpm.List1, _xlfn.TEXTSPLIT(B5, ", "),
    _xlpm.List2, _xlfn.TEXTSPLIT(C5, ", "),
    SUM(--ISNA(MATCH(_xlpm.List1, _xlpm.List2, 0)))
)</f>
        <v>4</v>
      </c>
      <c r="F5" s="1" t="s">
        <v>34</v>
      </c>
      <c r="G5" s="1" t="s">
        <v>33</v>
      </c>
      <c r="H5" s="1" cm="1">
        <f t="array" ref="H5">_xlfn.LET(
    _xlpm.List1, _xlfn.TEXTSPLIT(B5, ", "),
    _xlpm.List2, _xlfn.TEXTSPLIT(G5, ", "),
    SUM(--ISNUMBER(MATCH(_xlpm.List1, _xlpm.List2, 0)))
)</f>
        <v>0</v>
      </c>
      <c r="I5" s="1" cm="1">
        <f t="array" ref="I5">_xlfn.LET(
    _xlpm.List1, _xlfn.TEXTSPLIT(B5, ", "),
    _xlpm.List2, _xlfn.TEXTSPLIT(G5, ", "),
    SUM(--ISNA(MATCH(_xlpm.List1, _xlpm.List2, 0)))
)</f>
        <v>5</v>
      </c>
      <c r="J5" s="1"/>
      <c r="K5" s="1" t="str" cm="1">
        <f t="array" ref="K5">_xlfn.LET(
    _xlpm.List1, _xlfn.TEXTSPLIT(C5, ", "),
    _xlpm.List2, _xlfn.TEXTSPLIT(G5, ", "),
    _xlpm.CommonItems, _xlfn._xlws.FILTER(_xlpm.List1, ISNUMBER(MATCH(_xlpm.List1, _xlpm.List2, 0)), ""),
    _xlfn.TEXTJOIN(", ", TRUE, _xlpm.CommonItems)
)</f>
        <v/>
      </c>
      <c r="L5" s="1" cm="1">
        <f t="array" ref="L5">_xlfn.LET(
    _xlpm.List1, _xlfn.TEXTSPLIT(B5, ", "),
    _xlpm.List2, _xlfn.TEXTSPLIT(K5, ", "),
    SUM(--ISNUMBER(MATCH(_xlpm.List1, _xlpm.List2, 0)))
)</f>
        <v>0</v>
      </c>
      <c r="M5" s="1" cm="1">
        <f t="array" ref="M5">_xlfn.LET(
    _xlpm.List1, _xlfn.TEXTSPLIT(B5, ", "),
    _xlpm.List2, _xlfn.TEXTSPLIT(K5, ", "),
    SUM(--ISNA(MATCH(_xlpm.List1, _xlpm.List2, 0)))
)</f>
        <v>0</v>
      </c>
    </row>
    <row r="6" spans="1:13" ht="60" x14ac:dyDescent="0.25">
      <c r="A6" s="2" t="s">
        <v>14</v>
      </c>
      <c r="B6" s="1" t="s">
        <v>18</v>
      </c>
      <c r="C6" s="1" t="s">
        <v>37</v>
      </c>
      <c r="D6" s="1" cm="1">
        <f t="array" ref="D6">_xlfn.LET(
    _xlpm.List1, _xlfn.TEXTSPLIT(B6, ", "),
    _xlpm.List2, _xlfn.TEXTSPLIT(C6, ", "),
    SUM(--ISNUMBER(MATCH(_xlpm.List1, _xlpm.List2, 0)))
)</f>
        <v>0</v>
      </c>
      <c r="E6" s="1" cm="1">
        <f t="array" ref="E6">_xlfn.LET(
    _xlpm.List1, _xlfn.TEXTSPLIT(B6, ", "),
    _xlpm.List2, _xlfn.TEXTSPLIT(C6, ", "),
    SUM(--ISNA(MATCH(_xlpm.List1, _xlpm.List2, 0)))
)</f>
        <v>4</v>
      </c>
      <c r="F6" s="1" t="s">
        <v>38</v>
      </c>
      <c r="G6" s="1" t="s">
        <v>36</v>
      </c>
      <c r="H6" s="1" cm="1">
        <f t="array" ref="H6">_xlfn.LET(
    _xlpm.List1, _xlfn.TEXTSPLIT(B6, ", "),
    _xlpm.List2, _xlfn.TEXTSPLIT(G6, ", "),
    SUM(--ISNUMBER(MATCH(_xlpm.List1, _xlpm.List2, 0)))
)</f>
        <v>0</v>
      </c>
      <c r="I6" s="1" cm="1">
        <f t="array" ref="I6">_xlfn.LET(
    _xlpm.List1, _xlfn.TEXTSPLIT(B6, ", "),
    _xlpm.List2, _xlfn.TEXTSPLIT(G6, ", "),
    SUM(--ISNA(MATCH(_xlpm.List1, _xlpm.List2, 0)))
)</f>
        <v>4</v>
      </c>
      <c r="J6" s="1"/>
      <c r="K6" s="1" t="str" cm="1">
        <f t="array" ref="K6">_xlfn.LET(
    _xlpm.List1, _xlfn.TEXTSPLIT(C6, ", "),
    _xlpm.List2, _xlfn.TEXTSPLIT(G6, ", "),
    _xlpm.CommonItems, _xlfn._xlws.FILTER(_xlpm.List1, ISNUMBER(MATCH(_xlpm.List1, _xlpm.List2, 0)), ""),
    _xlfn.TEXTJOIN(", ", TRUE, _xlpm.CommonItems)
)</f>
        <v/>
      </c>
      <c r="L6" s="1" cm="1">
        <f t="array" ref="L6">_xlfn.LET(
    _xlpm.List1, _xlfn.TEXTSPLIT(B6, ", "),
    _xlpm.List2, _xlfn.TEXTSPLIT(K6, ", "),
    SUM(--ISNUMBER(MATCH(_xlpm.List1, _xlpm.List2, 0)))
)</f>
        <v>0</v>
      </c>
      <c r="M6" s="1" cm="1">
        <f t="array" ref="M6">_xlfn.LET(
    _xlpm.List1, _xlfn.TEXTSPLIT(B6, ", "),
    _xlpm.List2, _xlfn.TEXTSPLIT(K6, ", "),
    SUM(--ISNA(MATCH(_xlpm.List1, _xlpm.List2, 0)))
)</f>
        <v>0</v>
      </c>
    </row>
    <row r="7" spans="1:13" x14ac:dyDescent="0.25">
      <c r="A7" s="1"/>
      <c r="B7" s="1"/>
      <c r="C7" s="1"/>
      <c r="D7" s="1" cm="1">
        <f t="array" ref="D7">_xlfn.LET(
    _xlpm.List1, _xlfn.TEXTSPLIT(B7, ", "),
    _xlpm.List2, _xlfn.TEXTSPLIT(C7, ", "),
    SUM(--ISNUMBER(MATCH(_xlpm.List1, _xlpm.List2, 0)))
)</f>
        <v>0</v>
      </c>
      <c r="E7" s="1" cm="1">
        <f t="array" ref="E7">_xlfn.LET(
    _xlpm.List1, _xlfn.TEXTSPLIT(B7, ", "),
    _xlpm.List2, _xlfn.TEXTSPLIT(C7, ", "),
    SUM(--ISNA(MATCH(_xlpm.List1, _xlpm.List2, 0)))
)</f>
        <v>0</v>
      </c>
      <c r="F7" s="1"/>
      <c r="G7" s="1"/>
      <c r="H7" s="1" cm="1">
        <f t="array" ref="H7">_xlfn.LET(
    _xlpm.List1, _xlfn.TEXTSPLIT(B7, ", "),
    _xlpm.List2, _xlfn.TEXTSPLIT(G7, ", "),
    SUM(--ISNUMBER(MATCH(_xlpm.List1, _xlpm.List2, 0)))
)</f>
        <v>0</v>
      </c>
      <c r="I7" s="1" cm="1">
        <f t="array" ref="I7">_xlfn.LET(
    _xlpm.List1, _xlfn.TEXTSPLIT(B7, ", "),
    _xlpm.List2, _xlfn.TEXTSPLIT(G7, ", "),
    SUM(--ISNA(MATCH(_xlpm.List1, _xlpm.List2, 0)))
)</f>
        <v>0</v>
      </c>
      <c r="J7" s="1"/>
      <c r="K7" s="1" t="e" cm="1">
        <f t="array" ref="K7">_xlfn.LET(
    _xlpm.List1, _xlfn.TEXTSPLIT(C7, ", "),
    _xlpm.List2, _xlfn.TEXTSPLIT(G7, ", "),
    _xlpm.CommonItems, _xlfn._xlws.FILTER(_xlpm.List1, ISNUMBER(MATCH(_xlpm.List1, _xlpm.List2, 0)), ""),
    _xlfn.TEXTJOIN(", ", TRUE, _xlpm.CommonItems)
)</f>
        <v>#VALUE!</v>
      </c>
      <c r="L7" s="1" cm="1">
        <f t="array" ref="L7">_xlfn.LET(
    _xlpm.List1, _xlfn.TEXTSPLIT(B7, ", "),
    _xlpm.List2, _xlfn.TEXTSPLIT(K7, ", "),
    SUM(--ISNUMBER(MATCH(_xlpm.List1, _xlpm.List2, 0)))
)</f>
        <v>0</v>
      </c>
      <c r="M7" s="1" cm="1">
        <f t="array" ref="M7">_xlfn.LET(
    _xlpm.List1, _xlfn.TEXTSPLIT(B7, ", "),
    _xlpm.List2, _xlfn.TEXTSPLIT(K7, ", "),
    SUM(--ISNA(MATCH(_xlpm.List1, _xlpm.List2, 0)))
)</f>
        <v>0</v>
      </c>
    </row>
    <row r="8" spans="1:13" x14ac:dyDescent="0.25">
      <c r="A8" s="1"/>
      <c r="B8" s="1"/>
      <c r="C8" s="1"/>
      <c r="D8" s="1" cm="1">
        <f t="array" ref="D8">_xlfn.LET(
    _xlpm.List1, _xlfn.TEXTSPLIT(B8, ", "),
    _xlpm.List2, _xlfn.TEXTSPLIT(C8, ", "),
    SUM(--ISNUMBER(MATCH(_xlpm.List1, _xlpm.List2, 0)))
)</f>
        <v>0</v>
      </c>
      <c r="E8" s="1" cm="1">
        <f t="array" ref="E8">_xlfn.LET(
    _xlpm.List1, _xlfn.TEXTSPLIT(B8, ", "),
    _xlpm.List2, _xlfn.TEXTSPLIT(C8, ", "),
    SUM(--ISNA(MATCH(_xlpm.List1, _xlpm.List2, 0)))
)</f>
        <v>0</v>
      </c>
      <c r="F8" s="1"/>
      <c r="G8" s="1"/>
      <c r="H8" s="1" cm="1">
        <f t="array" ref="H8">_xlfn.LET(
    _xlpm.List1, _xlfn.TEXTSPLIT(B8, ", "),
    _xlpm.List2, _xlfn.TEXTSPLIT(G8, ", "),
    SUM(--ISNUMBER(MATCH(_xlpm.List1, _xlpm.List2, 0)))
)</f>
        <v>0</v>
      </c>
      <c r="I8" s="1" cm="1">
        <f t="array" ref="I8">_xlfn.LET(
    _xlpm.List1, _xlfn.TEXTSPLIT(B8, ", "),
    _xlpm.List2, _xlfn.TEXTSPLIT(G8, ", "),
    SUM(--ISNA(MATCH(_xlpm.List1, _xlpm.List2, 0)))
)</f>
        <v>0</v>
      </c>
      <c r="J8" s="1"/>
      <c r="K8" s="1" t="e" cm="1">
        <f t="array" ref="K8">_xlfn.LET(
    _xlpm.List1, _xlfn.TEXTSPLIT(C8, ", "),
    _xlpm.List2, _xlfn.TEXTSPLIT(G8, ", "),
    _xlpm.CommonItems, _xlfn._xlws.FILTER(_xlpm.List1, ISNUMBER(MATCH(_xlpm.List1, _xlpm.List2, 0)), ""),
    _xlfn.TEXTJOIN(", ", TRUE, _xlpm.CommonItems)
)</f>
        <v>#VALUE!</v>
      </c>
      <c r="L8" s="1" cm="1">
        <f t="array" ref="L8">_xlfn.LET(
    _xlpm.List1, _xlfn.TEXTSPLIT(B8, ", "),
    _xlpm.List2, _xlfn.TEXTSPLIT(K8, ", "),
    SUM(--ISNUMBER(MATCH(_xlpm.List1, _xlpm.List2, 0)))
)</f>
        <v>0</v>
      </c>
      <c r="M8" s="1" cm="1">
        <f t="array" ref="M8">_xlfn.LET(
    _xlpm.List1, _xlfn.TEXTSPLIT(B8, ", "),
    _xlpm.List2, _xlfn.TEXTSPLIT(K8, ", "),
    SUM(--ISNA(MATCH(_xlpm.List1, _xlpm.List2, 0)))
)</f>
        <v>0</v>
      </c>
    </row>
    <row r="9" spans="1:13" x14ac:dyDescent="0.25">
      <c r="A9" s="1"/>
      <c r="B9" s="1"/>
      <c r="C9" s="1"/>
      <c r="D9" s="1" cm="1">
        <f t="array" ref="D9">_xlfn.LET(
    _xlpm.List1, _xlfn.TEXTSPLIT(B9, ", "),
    _xlpm.List2, _xlfn.TEXTSPLIT(C9, ", "),
    SUM(--ISNUMBER(MATCH(_xlpm.List1, _xlpm.List2, 0)))
)</f>
        <v>0</v>
      </c>
      <c r="E9" s="1" cm="1">
        <f t="array" ref="E9">_xlfn.LET(
    _xlpm.List1, _xlfn.TEXTSPLIT(B9, ", "),
    _xlpm.List2, _xlfn.TEXTSPLIT(C9, ", "),
    SUM(--ISNA(MATCH(_xlpm.List1, _xlpm.List2, 0)))
)</f>
        <v>0</v>
      </c>
      <c r="F9" s="1"/>
      <c r="G9" s="1"/>
      <c r="H9" s="1" cm="1">
        <f t="array" ref="H9">_xlfn.LET(
    _xlpm.List1, _xlfn.TEXTSPLIT(B9, ", "),
    _xlpm.List2, _xlfn.TEXTSPLIT(G9, ", "),
    SUM(--ISNUMBER(MATCH(_xlpm.List1, _xlpm.List2, 0)))
)</f>
        <v>0</v>
      </c>
      <c r="I9" s="1" cm="1">
        <f t="array" ref="I9">_xlfn.LET(
    _xlpm.List1, _xlfn.TEXTSPLIT(B9, ", "),
    _xlpm.List2, _xlfn.TEXTSPLIT(G9, ", "),
    SUM(--ISNA(MATCH(_xlpm.List1, _xlpm.List2, 0)))
)</f>
        <v>0</v>
      </c>
      <c r="J9" s="1"/>
      <c r="K9" s="1" t="e" cm="1">
        <f t="array" ref="K9">_xlfn.LET(
    _xlpm.List1, _xlfn.TEXTSPLIT(C9, ", "),
    _xlpm.List2, _xlfn.TEXTSPLIT(G9, ", "),
    _xlpm.CommonItems, _xlfn._xlws.FILTER(_xlpm.List1, ISNUMBER(MATCH(_xlpm.List1, _xlpm.List2, 0)), ""),
    _xlfn.TEXTJOIN(", ", TRUE, _xlpm.CommonItems)
)</f>
        <v>#VALUE!</v>
      </c>
      <c r="L9" s="1" cm="1">
        <f t="array" ref="L9">_xlfn.LET(
    _xlpm.List1, _xlfn.TEXTSPLIT(B9, ", "),
    _xlpm.List2, _xlfn.TEXTSPLIT(K9, ", "),
    SUM(--ISNUMBER(MATCH(_xlpm.List1, _xlpm.List2, 0)))
)</f>
        <v>0</v>
      </c>
      <c r="M9" s="1" cm="1">
        <f t="array" ref="M9">_xlfn.LET(
    _xlpm.List1, _xlfn.TEXTSPLIT(B9, ", "),
    _xlpm.List2, _xlfn.TEXTSPLIT(K9, ", "),
    SUM(--ISNA(MATCH(_xlpm.List1, _xlpm.List2, 0)))
)</f>
        <v>0</v>
      </c>
    </row>
    <row r="10" spans="1:13" x14ac:dyDescent="0.25">
      <c r="A10" s="1"/>
      <c r="B10" s="1"/>
      <c r="C10" s="1"/>
      <c r="D10" s="1" cm="1">
        <f t="array" ref="D10">_xlfn.LET(
    _xlpm.List1, _xlfn.TEXTSPLIT(B10, ", "),
    _xlpm.List2, _xlfn.TEXTSPLIT(C10, ", "),
    SUM(--ISNUMBER(MATCH(_xlpm.List1, _xlpm.List2, 0)))
)</f>
        <v>0</v>
      </c>
      <c r="E10" s="1" cm="1">
        <f t="array" ref="E10">_xlfn.LET(
    _xlpm.List1, _xlfn.TEXTSPLIT(B10, ", "),
    _xlpm.List2, _xlfn.TEXTSPLIT(C10, ", "),
    SUM(--ISNA(MATCH(_xlpm.List1, _xlpm.List2, 0)))
)</f>
        <v>0</v>
      </c>
      <c r="F10" s="1"/>
      <c r="G10" s="1"/>
      <c r="H10" s="1" cm="1">
        <f t="array" ref="H10">_xlfn.LET(
    _xlpm.List1, _xlfn.TEXTSPLIT(B10, ", "),
    _xlpm.List2, _xlfn.TEXTSPLIT(G10, ", "),
    SUM(--ISNUMBER(MATCH(_xlpm.List1, _xlpm.List2, 0)))
)</f>
        <v>0</v>
      </c>
      <c r="I10" s="1" cm="1">
        <f t="array" ref="I10">_xlfn.LET(
    _xlpm.List1, _xlfn.TEXTSPLIT(B10, ", "),
    _xlpm.List2, _xlfn.TEXTSPLIT(G10, ", "),
    SUM(--ISNA(MATCH(_xlpm.List1, _xlpm.List2, 0)))
)</f>
        <v>0</v>
      </c>
      <c r="J10" s="1"/>
      <c r="K10" s="1" t="e" cm="1">
        <f t="array" ref="K10">_xlfn.LET(
    _xlpm.List1, _xlfn.TEXTSPLIT(C10, ", "),
    _xlpm.List2, _xlfn.TEXTSPLIT(G10, ", "),
    _xlpm.CommonItems, _xlfn._xlws.FILTER(_xlpm.List1, ISNUMBER(MATCH(_xlpm.List1, _xlpm.List2, 0)), ""),
    _xlfn.TEXTJOIN(", ", TRUE, _xlpm.CommonItems)
)</f>
        <v>#VALUE!</v>
      </c>
      <c r="L10" s="1" cm="1">
        <f t="array" ref="L10">_xlfn.LET(
    _xlpm.List1, _xlfn.TEXTSPLIT(B10, ", "),
    _xlpm.List2, _xlfn.TEXTSPLIT(K10, ", "),
    SUM(--ISNUMBER(MATCH(_xlpm.List1, _xlpm.List2, 0)))
)</f>
        <v>0</v>
      </c>
      <c r="M10" s="1" cm="1">
        <f t="array" ref="M10">_xlfn.LET(
    _xlpm.List1, _xlfn.TEXTSPLIT(B10, ", "),
    _xlpm.List2, _xlfn.TEXTSPLIT(K10, ", "),
    SUM(--ISNA(MATCH(_xlpm.List1, _xlpm.List2, 0)))
)</f>
        <v>0</v>
      </c>
    </row>
    <row r="11" spans="1:13" x14ac:dyDescent="0.25">
      <c r="A11" s="1"/>
      <c r="B11" s="1"/>
      <c r="C11" s="1"/>
      <c r="D11" s="1" cm="1">
        <f t="array" ref="D11">_xlfn.LET(
    _xlpm.List1, _xlfn.TEXTSPLIT(B11, ", "),
    _xlpm.List2, _xlfn.TEXTSPLIT(C11, ", "),
    SUM(--ISNUMBER(MATCH(_xlpm.List1, _xlpm.List2, 0)))
)</f>
        <v>0</v>
      </c>
      <c r="E11" s="1" cm="1">
        <f t="array" ref="E11">_xlfn.LET(
    _xlpm.List1, _xlfn.TEXTSPLIT(B11, ", "),
    _xlpm.List2, _xlfn.TEXTSPLIT(C11, ", "),
    SUM(--ISNA(MATCH(_xlpm.List1, _xlpm.List2, 0)))
)</f>
        <v>0</v>
      </c>
      <c r="F11" s="1"/>
      <c r="G11" s="1"/>
      <c r="H11" s="1" cm="1">
        <f t="array" ref="H11">_xlfn.LET(
    _xlpm.List1, _xlfn.TEXTSPLIT(B11, ", "),
    _xlpm.List2, _xlfn.TEXTSPLIT(G11, ", "),
    SUM(--ISNUMBER(MATCH(_xlpm.List1, _xlpm.List2, 0)))
)</f>
        <v>0</v>
      </c>
      <c r="I11" s="1" cm="1">
        <f t="array" ref="I11">_xlfn.LET(
    _xlpm.List1, _xlfn.TEXTSPLIT(B11, ", "),
    _xlpm.List2, _xlfn.TEXTSPLIT(G11, ", "),
    SUM(--ISNA(MATCH(_xlpm.List1, _xlpm.List2, 0)))
)</f>
        <v>0</v>
      </c>
      <c r="J11" s="1"/>
      <c r="K11" s="1" t="e" cm="1">
        <f t="array" ref="K11">_xlfn.LET(
    _xlpm.List1, _xlfn.TEXTSPLIT(C11, ", "),
    _xlpm.List2, _xlfn.TEXTSPLIT(G11, ", "),
    _xlpm.CommonItems, _xlfn._xlws.FILTER(_xlpm.List1, ISNUMBER(MATCH(_xlpm.List1, _xlpm.List2, 0)), ""),
    _xlfn.TEXTJOIN(", ", TRUE, _xlpm.CommonItems)
)</f>
        <v>#VALUE!</v>
      </c>
      <c r="L11" s="1" cm="1">
        <f t="array" ref="L11">_xlfn.LET(
    _xlpm.List1, _xlfn.TEXTSPLIT(B11, ", "),
    _xlpm.List2, _xlfn.TEXTSPLIT(K11, ", "),
    SUM(--ISNUMBER(MATCH(_xlpm.List1, _xlpm.List2, 0)))
)</f>
        <v>0</v>
      </c>
      <c r="M11" s="1" cm="1">
        <f t="array" ref="M11">_xlfn.LET(
    _xlpm.List1, _xlfn.TEXTSPLIT(B11, ", "),
    _xlpm.List2, _xlfn.TEXTSPLIT(K11, ", "),
    SUM(--ISNA(MATCH(_xlpm.List1, _xlpm.List2, 0)))
)</f>
        <v>0</v>
      </c>
    </row>
    <row r="12" spans="1:13" x14ac:dyDescent="0.25">
      <c r="A12" s="1"/>
      <c r="B12" s="1"/>
      <c r="C12" s="1"/>
      <c r="D12" s="1" cm="1">
        <f t="array" ref="D12">_xlfn.LET(
    _xlpm.List1, _xlfn.TEXTSPLIT(B12, ", "),
    _xlpm.List2, _xlfn.TEXTSPLIT(C12, ", "),
    SUM(--ISNUMBER(MATCH(_xlpm.List1, _xlpm.List2, 0)))
)</f>
        <v>0</v>
      </c>
      <c r="E12" s="1" cm="1">
        <f t="array" ref="E12">_xlfn.LET(
    _xlpm.List1, _xlfn.TEXTSPLIT(B12, ", "),
    _xlpm.List2, _xlfn.TEXTSPLIT(C12, ", "),
    SUM(--ISNA(MATCH(_xlpm.List1, _xlpm.List2, 0)))
)</f>
        <v>0</v>
      </c>
      <c r="F12" s="1"/>
      <c r="G12" s="1"/>
      <c r="H12" s="1" cm="1">
        <f t="array" ref="H12">_xlfn.LET(
    _xlpm.List1, _xlfn.TEXTSPLIT(B12, ", "),
    _xlpm.List2, _xlfn.TEXTSPLIT(G12, ", "),
    SUM(--ISNUMBER(MATCH(_xlpm.List1, _xlpm.List2, 0)))
)</f>
        <v>0</v>
      </c>
      <c r="I12" s="1" cm="1">
        <f t="array" ref="I12">_xlfn.LET(
    _xlpm.List1, _xlfn.TEXTSPLIT(B12, ", "),
    _xlpm.List2, _xlfn.TEXTSPLIT(G12, ", "),
    SUM(--ISNA(MATCH(_xlpm.List1, _xlpm.List2, 0)))
)</f>
        <v>0</v>
      </c>
      <c r="J12" s="1"/>
      <c r="K12" s="1" t="e" cm="1">
        <f t="array" ref="K12">_xlfn.LET(
    _xlpm.List1, _xlfn.TEXTSPLIT(C12, ", "),
    _xlpm.List2, _xlfn.TEXTSPLIT(G12, ", "),
    _xlpm.CommonItems, _xlfn._xlws.FILTER(_xlpm.List1, ISNUMBER(MATCH(_xlpm.List1, _xlpm.List2, 0)), ""),
    _xlfn.TEXTJOIN(", ", TRUE, _xlpm.CommonItems)
)</f>
        <v>#VALUE!</v>
      </c>
      <c r="L12" s="1" cm="1">
        <f t="array" ref="L12">_xlfn.LET(
    _xlpm.List1, _xlfn.TEXTSPLIT(B12, ", "),
    _xlpm.List2, _xlfn.TEXTSPLIT(K12, ", "),
    SUM(--ISNUMBER(MATCH(_xlpm.List1, _xlpm.List2, 0)))
)</f>
        <v>0</v>
      </c>
      <c r="M12" s="1" cm="1">
        <f t="array" ref="M12">_xlfn.LET(
    _xlpm.List1, _xlfn.TEXTSPLIT(B12, ", "),
    _xlpm.List2, _xlfn.TEXTSPLIT(K12, ", "),
    SUM(--ISNA(MATCH(_xlpm.List1, _xlpm.List2, 0)))
)</f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Rory Blackman</dc:creator>
  <cp:lastModifiedBy>Rory Blackman</cp:lastModifiedBy>
  <dcterms:created xsi:type="dcterms:W3CDTF">2025-11-11T13:02:00Z</dcterms:created>
  <dcterms:modified xsi:type="dcterms:W3CDTF">2025-11-11T19:04:22Z</dcterms:modified>
</cp:coreProperties>
</file>